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regression stats OEWS/"/>
    </mc:Choice>
  </mc:AlternateContent>
  <xr:revisionPtr revIDLastSave="0" documentId="13_ncr:1_{DFCFB3BE-5EC9-9F45-9DB4-7401D2CF50E4}" xr6:coauthVersionLast="47" xr6:coauthVersionMax="47" xr10:uidLastSave="{00000000-0000-0000-0000-000000000000}"/>
  <bookViews>
    <workbookView xWindow="240" yWindow="740" windowWidth="23620" windowHeight="14660" activeTab="2" xr2:uid="{00000000-000D-0000-FFFF-FFFF00000000}"/>
  </bookViews>
  <sheets>
    <sheet name="Regression Summary" sheetId="1" r:id="rId1"/>
    <sheet name="Correlation Matrix" sheetId="2" r:id="rId2"/>
    <sheet name="VIF Table" sheetId="3" r:id="rId3"/>
  </sheets>
  <calcPr calcId="124519"/>
</workbook>
</file>

<file path=xl/sharedStrings.xml><?xml version="1.0" encoding="utf-8"?>
<sst xmlns="http://schemas.openxmlformats.org/spreadsheetml/2006/main" count="57" uniqueCount="22">
  <si>
    <t>Variable</t>
  </si>
  <si>
    <t>Coef.</t>
  </si>
  <si>
    <t>Std.Err.</t>
  </si>
  <si>
    <t>t</t>
  </si>
  <si>
    <t>P&gt;|t|</t>
  </si>
  <si>
    <t>[0.025</t>
  </si>
  <si>
    <t>0.975]</t>
  </si>
  <si>
    <t>const</t>
  </si>
  <si>
    <t>automation_score</t>
  </si>
  <si>
    <t>post</t>
  </si>
  <si>
    <t>automation_x_post</t>
  </si>
  <si>
    <t>zone_2</t>
  </si>
  <si>
    <t>zone_3</t>
  </si>
  <si>
    <t>zone_4</t>
  </si>
  <si>
    <t>zone_5</t>
  </si>
  <si>
    <t>post_x_zone_2</t>
  </si>
  <si>
    <t>post_x_zone_3</t>
  </si>
  <si>
    <t>post_x_zone_4</t>
  </si>
  <si>
    <t>post_x_zone_5</t>
  </si>
  <si>
    <t>R-squared</t>
  </si>
  <si>
    <t>VIF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</si>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</sst>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22"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241300</xdr:colOff>
      <xdr:row>0</xdr:row>
      <xdr:rowOff>12700</xdr:rowOff>
    </xdr:from>
    <xdr:to>
      <xdr:col>20</xdr:col>
      <xdr:colOff>508000</xdr:colOff>
      <xdr:row>13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E47EE2-1BC3-55A4-E049-CF77B886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0" y="12700"/>
          <a:ext cx="12382500" cy="2476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3189B-4E10-5D4F-A4BF-6B3CE565EBE7}" name="Table1" displayName="Table1" ref="A1:L12" totalsRowShown="0" headerRowDxfId="7" dataDxfId="6">
  <autoFilter ref="A1:L12" xr:uid="{E993189B-4E10-5D4F-A4BF-6B3CE565EBE7}"/>
  <tableColumns count="12">
    <tableColumn id="1" xr3:uid="{375F63AD-3061-3C4C-8489-CC65148F95BE}" name="Column1" dataDxfId="19"/>
    <tableColumn id="2" xr3:uid="{1849552C-E75C-FE4F-9428-2DBE9A3BB574}" name="automation_score" dataDxfId="18"/>
    <tableColumn id="3" xr3:uid="{9EC834D4-90EA-1146-AA84-19E0B3B48973}" name="post" dataDxfId="17"/>
    <tableColumn id="4" xr3:uid="{5542D821-6D74-8E4E-A8E1-F4083EDF2FCA}" name="automation_x_post" dataDxfId="16"/>
    <tableColumn id="5" xr3:uid="{091BCDEE-2050-B14F-AB2C-419CA633566F}" name="zone_2" dataDxfId="15"/>
    <tableColumn id="6" xr3:uid="{46DE9E45-E843-B549-B017-40BAC56C3B50}" name="zone_3" dataDxfId="14"/>
    <tableColumn id="7" xr3:uid="{7B61B8A9-285E-744B-A5D7-910A9F0C99AD}" name="zone_4" dataDxfId="13"/>
    <tableColumn id="8" xr3:uid="{8B9DE504-DB3F-B144-B368-5E5DEFA4EC4E}" name="zone_5" dataDxfId="12"/>
    <tableColumn id="9" xr3:uid="{4706A109-799E-094B-9C71-387052064911}" name="post_x_zone_2" dataDxfId="11"/>
    <tableColumn id="10" xr3:uid="{CAC4E10D-ED2D-E64C-9D25-FC1A089648C5}" name="post_x_zone_3" dataDxfId="10"/>
    <tableColumn id="11" xr3:uid="{A67A7D75-2779-474B-8EA2-9A2540F5D940}" name="post_x_zone_4" dataDxfId="9"/>
    <tableColumn id="12" xr3:uid="{3698BC8C-7F87-F241-BFB1-CBA34C59471C}" name="post_x_zone_5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EDC377-2592-0948-8203-920E30D31F23}" name="Table2" displayName="Table2" ref="A1:B13" totalsRowShown="0" headerRowDxfId="3" dataDxfId="0" headerRowBorderDxfId="4" tableBorderDxfId="5">
  <autoFilter ref="A1:B13" xr:uid="{ABEDC377-2592-0948-8203-920E30D31F23}"/>
  <tableColumns count="2">
    <tableColumn id="1" xr3:uid="{8AE901C0-D8A4-EF4B-A2EA-C0463A78FBFF}" name="Variable" dataDxfId="2"/>
    <tableColumn id="2" xr3:uid="{05D6A36B-6307-0940-A376-6E05454104FE}" name="VIF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32929.935792653123</v>
      </c>
      <c r="C2">
        <v>2377.0353288220681</v>
      </c>
      <c r="D2">
        <v>13.853364059578981</v>
      </c>
      <c r="E2">
        <v>4.6500673364927498E-43</v>
      </c>
      <c r="F2">
        <v>28270.202752403231</v>
      </c>
      <c r="G2">
        <v>37589.668832903008</v>
      </c>
    </row>
    <row r="3" spans="1:7" x14ac:dyDescent="0.2">
      <c r="A3" t="s">
        <v>8</v>
      </c>
      <c r="B3">
        <v>314.68592397696438</v>
      </c>
      <c r="C3">
        <v>35.997294588039473</v>
      </c>
      <c r="D3">
        <v>8.7419326251679621</v>
      </c>
      <c r="E3">
        <v>2.8516764165370852E-18</v>
      </c>
      <c r="F3">
        <v>244.11996270678921</v>
      </c>
      <c r="G3">
        <v>385.25188524713951</v>
      </c>
    </row>
    <row r="4" spans="1:7" x14ac:dyDescent="0.2">
      <c r="A4" t="s">
        <v>9</v>
      </c>
      <c r="B4">
        <v>909.13732171352547</v>
      </c>
      <c r="C4">
        <v>5269.205394117118</v>
      </c>
      <c r="D4">
        <v>0.17253784085329929</v>
      </c>
      <c r="E4">
        <v>0.86301984950269806</v>
      </c>
      <c r="F4">
        <v>-9420.1540325709211</v>
      </c>
      <c r="G4">
        <v>11238.42867599797</v>
      </c>
    </row>
    <row r="5" spans="1:7" x14ac:dyDescent="0.2">
      <c r="A5" t="s">
        <v>10</v>
      </c>
      <c r="B5">
        <v>8.5479528161653633</v>
      </c>
      <c r="C5">
        <v>78.956211780311918</v>
      </c>
      <c r="D5">
        <v>0.1082619419476358</v>
      </c>
      <c r="E5">
        <v>0.91379110519702755</v>
      </c>
      <c r="F5">
        <v>-146.23092838288099</v>
      </c>
      <c r="G5">
        <v>163.32683401521169</v>
      </c>
    </row>
    <row r="6" spans="1:7" x14ac:dyDescent="0.2">
      <c r="A6" t="s">
        <v>11</v>
      </c>
      <c r="B6">
        <v>9310.9063289224505</v>
      </c>
      <c r="C6">
        <v>2266.3427603825648</v>
      </c>
      <c r="D6">
        <v>4.1083398732461562</v>
      </c>
      <c r="E6">
        <v>4.0319171873568808E-5</v>
      </c>
      <c r="F6">
        <v>4868.1653595153939</v>
      </c>
      <c r="G6">
        <v>13753.64729832951</v>
      </c>
    </row>
    <row r="7" spans="1:7" x14ac:dyDescent="0.2">
      <c r="A7" t="s">
        <v>12</v>
      </c>
      <c r="B7">
        <v>27462.711537374929</v>
      </c>
      <c r="C7">
        <v>2333.5266038889281</v>
      </c>
      <c r="D7">
        <v>11.76875870693185</v>
      </c>
      <c r="E7">
        <v>1.145504051785027E-31</v>
      </c>
      <c r="F7">
        <v>22888.269212265812</v>
      </c>
      <c r="G7">
        <v>32037.153862484061</v>
      </c>
    </row>
    <row r="8" spans="1:7" x14ac:dyDescent="0.2">
      <c r="A8" t="s">
        <v>13</v>
      </c>
      <c r="B8">
        <v>61266.440954455233</v>
      </c>
      <c r="C8">
        <v>2369.5999194664309</v>
      </c>
      <c r="D8">
        <v>25.85518359076023</v>
      </c>
      <c r="E8">
        <v>1.116243730020933E-140</v>
      </c>
      <c r="F8">
        <v>56621.283643148927</v>
      </c>
      <c r="G8">
        <v>65911.598265761539</v>
      </c>
    </row>
    <row r="9" spans="1:7" x14ac:dyDescent="0.2">
      <c r="A9" t="s">
        <v>14</v>
      </c>
      <c r="B9">
        <v>92187.451235197921</v>
      </c>
      <c r="C9">
        <v>2442.8892882372229</v>
      </c>
      <c r="D9">
        <v>37.737056558023518</v>
      </c>
      <c r="E9">
        <v>3.967880665691661E-283</v>
      </c>
      <c r="F9">
        <v>87398.623828197437</v>
      </c>
      <c r="G9">
        <v>96976.278642198406</v>
      </c>
    </row>
    <row r="10" spans="1:7" x14ac:dyDescent="0.2">
      <c r="A10" t="s">
        <v>15</v>
      </c>
      <c r="B10">
        <v>-505.56733180722591</v>
      </c>
      <c r="C10">
        <v>5027.5680123307202</v>
      </c>
      <c r="D10">
        <v>-0.1005590238793907</v>
      </c>
      <c r="E10">
        <v>0.91990349051204323</v>
      </c>
      <c r="F10">
        <v>-10361.173807277721</v>
      </c>
      <c r="G10">
        <v>9350.0391436632726</v>
      </c>
    </row>
    <row r="11" spans="1:7" x14ac:dyDescent="0.2">
      <c r="A11" t="s">
        <v>16</v>
      </c>
      <c r="B11">
        <v>-2284.0960269525131</v>
      </c>
      <c r="C11">
        <v>5160.9750354155758</v>
      </c>
      <c r="D11">
        <v>-0.44257064048529948</v>
      </c>
      <c r="E11">
        <v>0.65809040126540586</v>
      </c>
      <c r="F11">
        <v>-12401.22201192813</v>
      </c>
      <c r="G11">
        <v>7833.0299580231022</v>
      </c>
    </row>
    <row r="12" spans="1:7" x14ac:dyDescent="0.2">
      <c r="A12" t="s">
        <v>17</v>
      </c>
      <c r="B12">
        <v>-5781.1787721564551</v>
      </c>
      <c r="C12">
        <v>5251.7862432327338</v>
      </c>
      <c r="D12">
        <v>-1.100802375497647</v>
      </c>
      <c r="E12">
        <v>0.27102164235549669</v>
      </c>
      <c r="F12">
        <v>-16076.32314009835</v>
      </c>
      <c r="G12">
        <v>4513.9655957854347</v>
      </c>
    </row>
    <row r="13" spans="1:7" x14ac:dyDescent="0.2">
      <c r="A13" t="s">
        <v>18</v>
      </c>
      <c r="B13">
        <v>-1289.4135537738341</v>
      </c>
      <c r="C13">
        <v>5392.0027747155991</v>
      </c>
      <c r="D13">
        <v>-0.23913443810159091</v>
      </c>
      <c r="E13">
        <v>0.81100854530127664</v>
      </c>
      <c r="F13">
        <v>-11859.426198437441</v>
      </c>
      <c r="G13">
        <v>9280.5990908897656</v>
      </c>
    </row>
    <row r="14" spans="1:7" x14ac:dyDescent="0.2">
      <c r="A14" t="s">
        <v>19</v>
      </c>
      <c r="B14">
        <v>0.46307156187145287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zoomScale="75" workbookViewId="0">
      <selection activeCell="O20" sqref="O20"/>
    </sheetView>
  </sheetViews>
  <sheetFormatPr baseColWidth="10" defaultColWidth="8.83203125" defaultRowHeight="15" x14ac:dyDescent="0.2"/>
  <cols>
    <col min="1" max="1" width="16.33203125" customWidth="1"/>
    <col min="2" max="2" width="11.6640625" customWidth="1"/>
    <col min="4" max="4" width="15.1640625" customWidth="1"/>
    <col min="5" max="8" width="9" customWidth="1"/>
    <col min="9" max="9" width="14.1640625" customWidth="1"/>
    <col min="10" max="12" width="14.83203125" customWidth="1"/>
  </cols>
  <sheetData>
    <row r="1" spans="1:12" x14ac:dyDescent="0.2">
      <c r="A1" s="2" t="s">
        <v>21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</row>
    <row r="2" spans="1:12" x14ac:dyDescent="0.2">
      <c r="A2" s="3" t="s">
        <v>8</v>
      </c>
      <c r="B2" s="4">
        <v>1</v>
      </c>
      <c r="C2" s="4">
        <v>-2.6923875354074849E-3</v>
      </c>
      <c r="D2" s="4">
        <v>0.20869163528184079</v>
      </c>
      <c r="E2" s="4">
        <v>0.13542740730310779</v>
      </c>
      <c r="F2" s="4">
        <v>3.5888875364220099E-3</v>
      </c>
      <c r="G2" s="4">
        <v>6.0279099945154777E-2</v>
      </c>
      <c r="H2" s="4">
        <v>-0.25920276108687013</v>
      </c>
      <c r="I2" s="4">
        <v>4.9729920726667501E-2</v>
      </c>
      <c r="J2" s="4">
        <v>-1.7729132989198009E-3</v>
      </c>
      <c r="K2" s="4">
        <v>2.6603247242440151E-2</v>
      </c>
      <c r="L2" s="4">
        <v>-0.1106164157715516</v>
      </c>
    </row>
    <row r="3" spans="1:12" x14ac:dyDescent="0.2">
      <c r="A3" s="3" t="s">
        <v>9</v>
      </c>
      <c r="B3" s="4">
        <v>-2.6923875354074849E-3</v>
      </c>
      <c r="C3" s="4">
        <v>1</v>
      </c>
      <c r="D3" s="4">
        <v>0.88636933033814791</v>
      </c>
      <c r="E3" s="4">
        <v>-5.5302827621151801E-3</v>
      </c>
      <c r="F3" s="4">
        <v>6.2313328222812327E-3</v>
      </c>
      <c r="G3" s="4">
        <v>-2.8551675754969032E-3</v>
      </c>
      <c r="H3" s="4">
        <v>5.131184711251186E-3</v>
      </c>
      <c r="I3" s="4">
        <v>0.56052862871053066</v>
      </c>
      <c r="J3" s="4">
        <v>0.44779850317198089</v>
      </c>
      <c r="K3" s="4">
        <v>0.39750376380707642</v>
      </c>
      <c r="L3" s="4">
        <v>0.36133575180393862</v>
      </c>
    </row>
    <row r="4" spans="1:12" x14ac:dyDescent="0.2">
      <c r="A4" s="3" t="s">
        <v>10</v>
      </c>
      <c r="B4" s="4">
        <v>0.20869163528184079</v>
      </c>
      <c r="C4" s="4">
        <v>0.88636933033814791</v>
      </c>
      <c r="D4" s="4">
        <v>1</v>
      </c>
      <c r="E4" s="4">
        <v>2.3782395700456881E-2</v>
      </c>
      <c r="F4" s="4">
        <v>5.2260919874786999E-3</v>
      </c>
      <c r="G4" s="4">
        <v>1.1430982576222789E-2</v>
      </c>
      <c r="H4" s="4">
        <v>-5.0635703223751057E-2</v>
      </c>
      <c r="I4" s="4">
        <v>0.54886857855825011</v>
      </c>
      <c r="J4" s="4">
        <v>0.39633880160136009</v>
      </c>
      <c r="K4" s="4">
        <v>0.38043751482723459</v>
      </c>
      <c r="L4" s="4">
        <v>0.2089340933166981</v>
      </c>
    </row>
    <row r="5" spans="1:12" x14ac:dyDescent="0.2">
      <c r="A5" s="3" t="s">
        <v>11</v>
      </c>
      <c r="B5" s="4">
        <v>0.13542740730310779</v>
      </c>
      <c r="C5" s="4">
        <v>-5.5302827621151801E-3</v>
      </c>
      <c r="D5" s="4">
        <v>2.3782395700456881E-2</v>
      </c>
      <c r="E5" s="4">
        <v>1</v>
      </c>
      <c r="F5" s="4">
        <v>-0.42760231255536801</v>
      </c>
      <c r="G5" s="4">
        <v>-0.37778865512646748</v>
      </c>
      <c r="H5" s="4">
        <v>-0.33104713572468653</v>
      </c>
      <c r="I5" s="4">
        <v>0.37496438577322388</v>
      </c>
      <c r="J5" s="4">
        <v>-0.17754709563074769</v>
      </c>
      <c r="K5" s="4">
        <v>-0.15760579427201021</v>
      </c>
      <c r="L5" s="4">
        <v>-0.14326558223376501</v>
      </c>
    </row>
    <row r="6" spans="1:12" x14ac:dyDescent="0.2">
      <c r="A6" s="3" t="s">
        <v>12</v>
      </c>
      <c r="B6" s="4">
        <v>3.5888875364220099E-3</v>
      </c>
      <c r="C6" s="4">
        <v>6.2313328222812327E-3</v>
      </c>
      <c r="D6" s="4">
        <v>5.2260919874786999E-3</v>
      </c>
      <c r="E6" s="4">
        <v>-0.42760231255536801</v>
      </c>
      <c r="F6" s="4">
        <v>1</v>
      </c>
      <c r="G6" s="4">
        <v>-0.2725525464198279</v>
      </c>
      <c r="H6" s="4">
        <v>-0.2388312581714491</v>
      </c>
      <c r="I6" s="4">
        <v>-0.16033563848253241</v>
      </c>
      <c r="J6" s="4">
        <v>0.41521547105234269</v>
      </c>
      <c r="K6" s="4">
        <v>-0.11370341585555579</v>
      </c>
      <c r="L6" s="4">
        <v>-0.10335778674735591</v>
      </c>
    </row>
    <row r="7" spans="1:12" x14ac:dyDescent="0.2">
      <c r="A7" s="3" t="s">
        <v>13</v>
      </c>
      <c r="B7" s="4">
        <v>6.0279099945154777E-2</v>
      </c>
      <c r="C7" s="4">
        <v>-2.8551675754969032E-3</v>
      </c>
      <c r="D7" s="4">
        <v>1.1430982576222789E-2</v>
      </c>
      <c r="E7" s="4">
        <v>-0.37778865512646748</v>
      </c>
      <c r="F7" s="4">
        <v>-0.2725525464198279</v>
      </c>
      <c r="G7" s="4">
        <v>1</v>
      </c>
      <c r="H7" s="4">
        <v>-0.21100854035973221</v>
      </c>
      <c r="I7" s="4">
        <v>-0.14165729102158781</v>
      </c>
      <c r="J7" s="4">
        <v>-0.11316803394822381</v>
      </c>
      <c r="K7" s="4">
        <v>0.41717979651678527</v>
      </c>
      <c r="L7" s="4">
        <v>-9.1317090917453173E-2</v>
      </c>
    </row>
    <row r="8" spans="1:12" x14ac:dyDescent="0.2">
      <c r="A8" s="3" t="s">
        <v>14</v>
      </c>
      <c r="B8" s="4">
        <v>-0.25920276108687013</v>
      </c>
      <c r="C8" s="4">
        <v>5.131184711251186E-3</v>
      </c>
      <c r="D8" s="4">
        <v>-5.0635703223751057E-2</v>
      </c>
      <c r="E8" s="4">
        <v>-0.33104713572468653</v>
      </c>
      <c r="F8" s="4">
        <v>-0.2388312581714491</v>
      </c>
      <c r="G8" s="4">
        <v>-0.21100854035973221</v>
      </c>
      <c r="H8" s="4">
        <v>1</v>
      </c>
      <c r="I8" s="4">
        <v>-0.1241308859089922</v>
      </c>
      <c r="J8" s="4">
        <v>-9.9166433363681764E-2</v>
      </c>
      <c r="K8" s="4">
        <v>-8.8028499930577403E-2</v>
      </c>
      <c r="L8" s="4">
        <v>0.43276490497386361</v>
      </c>
    </row>
    <row r="9" spans="1:12" x14ac:dyDescent="0.2">
      <c r="A9" s="3" t="s">
        <v>15</v>
      </c>
      <c r="B9" s="4">
        <v>4.9729920726667501E-2</v>
      </c>
      <c r="C9" s="4">
        <v>0.56052862871053066</v>
      </c>
      <c r="D9" s="4">
        <v>0.54886857855825011</v>
      </c>
      <c r="E9" s="4">
        <v>0.37496438577322388</v>
      </c>
      <c r="F9" s="4">
        <v>-0.16033563848253241</v>
      </c>
      <c r="G9" s="4">
        <v>-0.14165729102158781</v>
      </c>
      <c r="H9" s="4">
        <v>-0.1241308859089922</v>
      </c>
      <c r="I9" s="4">
        <v>1</v>
      </c>
      <c r="J9" s="4">
        <v>-6.6573837659003016E-2</v>
      </c>
      <c r="K9" s="4">
        <v>-5.9096559843505571E-2</v>
      </c>
      <c r="L9" s="4">
        <v>-5.3719491044727091E-2</v>
      </c>
    </row>
    <row r="10" spans="1:12" x14ac:dyDescent="0.2">
      <c r="A10" s="3" t="s">
        <v>16</v>
      </c>
      <c r="B10" s="4">
        <v>-1.7729132989198009E-3</v>
      </c>
      <c r="C10" s="4">
        <v>0.44779850317198089</v>
      </c>
      <c r="D10" s="4">
        <v>0.39633880160136009</v>
      </c>
      <c r="E10" s="4">
        <v>-0.17754709563074769</v>
      </c>
      <c r="F10" s="4">
        <v>0.41521547105234269</v>
      </c>
      <c r="G10" s="4">
        <v>-0.11316803394822381</v>
      </c>
      <c r="H10" s="4">
        <v>-9.9166433363681764E-2</v>
      </c>
      <c r="I10" s="4">
        <v>-6.6573837659003016E-2</v>
      </c>
      <c r="J10" s="4">
        <v>1</v>
      </c>
      <c r="K10" s="4">
        <v>-4.7211417374724923E-2</v>
      </c>
      <c r="L10" s="4">
        <v>-4.2915752111230873E-2</v>
      </c>
    </row>
    <row r="11" spans="1:12" x14ac:dyDescent="0.2">
      <c r="A11" s="3" t="s">
        <v>17</v>
      </c>
      <c r="B11" s="4">
        <v>2.6603247242440151E-2</v>
      </c>
      <c r="C11" s="4">
        <v>0.39750376380707642</v>
      </c>
      <c r="D11" s="4">
        <v>0.38043751482723459</v>
      </c>
      <c r="E11" s="4">
        <v>-0.15760579427201021</v>
      </c>
      <c r="F11" s="4">
        <v>-0.11370341585555579</v>
      </c>
      <c r="G11" s="4">
        <v>0.41717979651678527</v>
      </c>
      <c r="H11" s="4">
        <v>-8.8028499930577403E-2</v>
      </c>
      <c r="I11" s="4">
        <v>-5.9096559843505571E-2</v>
      </c>
      <c r="J11" s="4">
        <v>-4.7211417374724923E-2</v>
      </c>
      <c r="K11" s="4">
        <v>1</v>
      </c>
      <c r="L11" s="4">
        <v>-3.8095645407448198E-2</v>
      </c>
    </row>
    <row r="12" spans="1:12" x14ac:dyDescent="0.2">
      <c r="A12" s="3" t="s">
        <v>18</v>
      </c>
      <c r="B12" s="4">
        <v>-0.1106164157715516</v>
      </c>
      <c r="C12" s="4">
        <v>0.36133575180393862</v>
      </c>
      <c r="D12" s="4">
        <v>0.2089340933166981</v>
      </c>
      <c r="E12" s="4">
        <v>-0.14326558223376501</v>
      </c>
      <c r="F12" s="4">
        <v>-0.10335778674735591</v>
      </c>
      <c r="G12" s="4">
        <v>-9.1317090917453173E-2</v>
      </c>
      <c r="H12" s="4">
        <v>0.43276490497386361</v>
      </c>
      <c r="I12" s="4">
        <v>-5.3719491044727091E-2</v>
      </c>
      <c r="J12" s="4">
        <v>-4.2915752111230873E-2</v>
      </c>
      <c r="K12" s="4">
        <v>-3.8095645407448198E-2</v>
      </c>
      <c r="L12" s="4">
        <v>1</v>
      </c>
    </row>
  </sheetData>
  <conditionalFormatting sqref="B2:L12">
    <cfRule type="cellIs" dxfId="21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abSelected="1" workbookViewId="0">
      <selection activeCell="C21" sqref="C21"/>
    </sheetView>
  </sheetViews>
  <sheetFormatPr baseColWidth="10" defaultColWidth="8.83203125" defaultRowHeight="15" x14ac:dyDescent="0.2"/>
  <cols>
    <col min="1" max="1" width="16.6640625" customWidth="1"/>
  </cols>
  <sheetData>
    <row r="1" spans="1:2" x14ac:dyDescent="0.2">
      <c r="A1" s="5" t="s">
        <v>0</v>
      </c>
      <c r="B1" s="5" t="s">
        <v>20</v>
      </c>
    </row>
    <row r="2" spans="1:2" x14ac:dyDescent="0.2">
      <c r="A2" s="2" t="s">
        <v>7</v>
      </c>
      <c r="B2" s="4">
        <v>36.608658311372267</v>
      </c>
    </row>
    <row r="3" spans="1:2" x14ac:dyDescent="0.2">
      <c r="A3" s="2" t="s">
        <v>8</v>
      </c>
      <c r="B3" s="4">
        <v>1.3595035172944581</v>
      </c>
    </row>
    <row r="4" spans="1:2" x14ac:dyDescent="0.2">
      <c r="A4" s="2" t="s">
        <v>9</v>
      </c>
      <c r="B4" s="4">
        <v>29.804838647238832</v>
      </c>
    </row>
    <row r="5" spans="1:2" x14ac:dyDescent="0.2">
      <c r="A5" s="2" t="s">
        <v>10</v>
      </c>
      <c r="B5" s="4">
        <v>6.3424189014149679</v>
      </c>
    </row>
    <row r="6" spans="1:2" x14ac:dyDescent="0.2">
      <c r="A6" s="2" t="s">
        <v>11</v>
      </c>
      <c r="B6" s="4">
        <v>7.775559709656525</v>
      </c>
    </row>
    <row r="7" spans="1:2" x14ac:dyDescent="0.2">
      <c r="A7" s="2" t="s">
        <v>12</v>
      </c>
      <c r="B7" s="4">
        <v>6.3567989894746226</v>
      </c>
    </row>
    <row r="8" spans="1:2" x14ac:dyDescent="0.2">
      <c r="A8" s="2" t="s">
        <v>13</v>
      </c>
      <c r="B8" s="4">
        <v>5.6900635037509959</v>
      </c>
    </row>
    <row r="9" spans="1:2" x14ac:dyDescent="0.2">
      <c r="A9" s="2" t="s">
        <v>14</v>
      </c>
      <c r="B9" s="4">
        <v>5.0920939101663167</v>
      </c>
    </row>
    <row r="10" spans="1:2" x14ac:dyDescent="0.2">
      <c r="A10" s="2" t="s">
        <v>15</v>
      </c>
      <c r="B10" s="4">
        <v>11.62848105638705</v>
      </c>
    </row>
    <row r="11" spans="1:2" x14ac:dyDescent="0.2">
      <c r="A11" s="2" t="s">
        <v>16</v>
      </c>
      <c r="B11" s="4">
        <v>8.2747566644229398</v>
      </c>
    </row>
    <row r="12" spans="1:2" x14ac:dyDescent="0.2">
      <c r="A12" s="2" t="s">
        <v>17</v>
      </c>
      <c r="B12" s="4">
        <v>6.8987883685019389</v>
      </c>
    </row>
    <row r="13" spans="1:2" x14ac:dyDescent="0.2">
      <c r="A13" s="2" t="s">
        <v>18</v>
      </c>
      <c r="B13" s="4">
        <v>6.0937992658732467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Regression Summary</vt:lpstr>
      <vt:lpstr>Correlation Matrix</vt:lpstr>
      <vt:lpstr>VIF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2025-04-21T03:01:42Z</dcterms:created>
  <dcterms:modified xsi:type="dcterms:W3CDTF">2025-04-21T04:34:53Z</dcterms:modified>
</cp:coreProperties>
</file>